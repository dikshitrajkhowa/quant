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frame Rules" sheetId="1" state="visible" r:id="rId3"/>
    <sheet name="Timeframes" sheetId="2" state="visible" r:id="rId4"/>
    <sheet name="Test Results" sheetId="3" state="visible" r:id="rId5"/>
    <sheet name="Behaviour Changes" sheetId="4" state="visible" r:id="rId6"/>
    <sheet name="Files Update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<sst xmlns="http://schemas.openxmlformats.org/spreadsheetml/2006/main" count="190" uniqueCount="123">
  <si>
    <t xml:space="preserve">Candle timeframe rules</t>
  </si>
  <si>
    <t xml:space="preserve">Applies to both strategies: Candle breakout (long, 1:1) and Candle breakout (long &amp; short). Default timeframe: 15 minutes.</t>
  </si>
  <si>
    <t xml:space="preserve">Rule</t>
  </si>
  <si>
    <t xml:space="preserve">Intraday (5 min - 1 hour)</t>
  </si>
  <si>
    <t xml:space="preserve">Daily / weekly / monthly</t>
  </si>
  <si>
    <t xml:space="preserve">Holding</t>
  </si>
  <si>
    <t xml:space="preserve">Squared off at 15:15</t>
  </si>
  <si>
    <t xml:space="preserve">Held across bars; delivery (CNC) orders</t>
  </si>
  <si>
    <t xml:space="preserve">Short trades</t>
  </si>
  <si>
    <t xml:space="preserve">Allowed (intraday MIS)</t>
  </si>
  <si>
    <t xml:space="preserve">Skipped - NSE cash-market shorts can't be held overnight</t>
  </si>
  <si>
    <t xml:space="preserve">VWAP filter</t>
  </si>
  <si>
    <t xml:space="preserve">Session VWAP (resets each day)</t>
  </si>
  <si>
    <t xml:space="preserve">20-bar volume-weighted average price</t>
  </si>
  <si>
    <t xml:space="preserve">Entry window / skip first candles</t>
  </si>
  <si>
    <t xml:space="preserve">Apply</t>
  </si>
  <si>
    <t xml:space="preserve">Off</t>
  </si>
  <si>
    <t xml:space="preserve">Daily limits (max trades, losses in a row, daily loss limit)</t>
  </si>
  <si>
    <t xml:space="preserve">Cooldown after a stop-out</t>
  </si>
  <si>
    <t xml:space="preserve">Applies, counted in candles</t>
  </si>
  <si>
    <t xml:space="preserve">Applies, counted in bars</t>
  </si>
  <si>
    <t xml:space="preserve">Live checking</t>
  </si>
  <si>
    <t xml:space="preserve">Every completed candle</t>
  </si>
  <si>
    <t xml:space="preserve">Once each morning after the open; orders at market (= backtest's next bar open)</t>
  </si>
  <si>
    <t xml:space="preserve">Stale signals</t>
  </si>
  <si>
    <t xml:space="preserve">n/a</t>
  </si>
  <si>
    <t xml:space="preserve">Entries only on the first session after a bar completes (+1 business day slack for a holiday)</t>
  </si>
  <si>
    <t xml:space="preserve">Timeframes and history limits</t>
  </si>
  <si>
    <t xml:space="preserve">History limits are calendar days; the app caps your History setting to these per source.</t>
  </si>
  <si>
    <t xml:space="preserve">Code</t>
  </si>
  <si>
    <t xml:space="preserve">Timeframe</t>
  </si>
  <si>
    <t xml:space="preserve">Type</t>
  </si>
  <si>
    <t xml:space="preserve">Square-off</t>
  </si>
  <si>
    <t xml:space="preserve">Shorts</t>
  </si>
  <si>
    <t xml:space="preserve">Order product</t>
  </si>
  <si>
    <t xml:space="preserve">Live check</t>
  </si>
  <si>
    <t xml:space="preserve">Yahoo max history (days)</t>
  </si>
  <si>
    <t xml:space="preserve">TradingView max history (days)</t>
  </si>
  <si>
    <t xml:space="preserve">5m</t>
  </si>
  <si>
    <t xml:space="preserve">5 minutes</t>
  </si>
  <si>
    <t xml:space="preserve">Intraday</t>
  </si>
  <si>
    <t xml:space="preserve">15:15</t>
  </si>
  <si>
    <t xml:space="preserve">Yes</t>
  </si>
  <si>
    <t xml:space="preserve">MIS</t>
  </si>
  <si>
    <t xml:space="preserve">15m</t>
  </si>
  <si>
    <t xml:space="preserve">15 minutes (default)</t>
  </si>
  <si>
    <t xml:space="preserve">30m</t>
  </si>
  <si>
    <t xml:space="preserve">30 minutes</t>
  </si>
  <si>
    <t xml:space="preserve">1h</t>
  </si>
  <si>
    <t xml:space="preserve">1 hour</t>
  </si>
  <si>
    <t xml:space="preserve">1d</t>
  </si>
  <si>
    <t xml:space="preserve">1 day</t>
  </si>
  <si>
    <t xml:space="preserve">Daily+</t>
  </si>
  <si>
    <t xml:space="preserve">None (held)</t>
  </si>
  <si>
    <t xml:space="preserve">No</t>
  </si>
  <si>
    <t xml:space="preserve">CNC</t>
  </si>
  <si>
    <t xml:space="preserve">Each morning after open</t>
  </si>
  <si>
    <t xml:space="preserve">1wk</t>
  </si>
  <si>
    <t xml:space="preserve">1 week</t>
  </si>
  <si>
    <t xml:space="preserve">1mo</t>
  </si>
  <si>
    <t xml:space="preserve">1 month</t>
  </si>
  <si>
    <t xml:space="preserve">Sources: Yahoo keeps ~60 days of sub-hour bars and ~730 days of 1-hour bars; daily+ built from daily bars (~20 years). TradingView ~5,000 bars without login. Blue = values from the app's data_providers.max_history_days().</t>
  </si>
  <si>
    <t xml:space="preserve">Backtest vs live (dry run) equivalence</t>
  </si>
  <si>
    <t xml:space="preserve">Same synthetic candles fed to both; compared side, entry/exit price, exit reason and quantity. Synthetic data and mock services only - not live market data.</t>
  </si>
  <si>
    <t xml:space="preserve">Strategy</t>
  </si>
  <si>
    <t xml:space="preserve">Trades compared</t>
  </si>
  <si>
    <t xml:space="preserve">Identical</t>
  </si>
  <si>
    <t xml:space="preserve">Different</t>
  </si>
  <si>
    <t xml:space="preserve">Match %</t>
  </si>
  <si>
    <t xml:space="preserve">Notes</t>
  </si>
  <si>
    <t xml:space="preserve">Candle breakout (long, 1:1)</t>
  </si>
  <si>
    <t xml:space="preserve">Exact match</t>
  </si>
  <si>
    <t xml:space="preserve">NOT INVESTIGATED - 6 trades differ (exit reason/price); needs follow-up</t>
  </si>
  <si>
    <t xml:space="preserve">Test-window artefact: backtest already in a position when the live test started</t>
  </si>
  <si>
    <t xml:space="preserve">Candle breakout (long &amp; short)</t>
  </si>
  <si>
    <t xml:space="preserve">Test-window artefact: backtest closed the trade after the live test ended</t>
  </si>
  <si>
    <t xml:space="preserve">Total</t>
  </si>
  <si>
    <t xml:space="preserve">Blue = counts recorded from the test runs. Red row = unexplained difference. Amber = any differing trades.</t>
  </si>
  <si>
    <t xml:space="preserve">Behaviour changes to know</t>
  </si>
  <si>
    <t xml:space="preserve">From the timeframe update.</t>
  </si>
  <si>
    <t xml:space="preserve">Change</t>
  </si>
  <si>
    <t xml:space="preserve">Detail</t>
  </si>
  <si>
    <t xml:space="preserve">Affects</t>
  </si>
  <si>
    <t xml:space="preserve">Strategy names</t>
  </si>
  <si>
    <t xml:space="preserve">Renamed to 'Candle breakout (long, 1:1)' and 'Candle breakout (long &amp; short)' - no longer tied to 15 minutes</t>
  </si>
  <si>
    <t xml:space="preserve">Cosmetic</t>
  </si>
  <si>
    <t xml:space="preserve">Daily/weekly/monthly sessions</t>
  </si>
  <si>
    <t xml:space="preserve">Start before 09:15. Entries only on the first session after a bar completes; a session started later waits for the next bar</t>
  </si>
  <si>
    <t xml:space="preserve">Live trading</t>
  </si>
  <si>
    <t xml:space="preserve">Original strategy intraday square-off</t>
  </si>
  <si>
    <t xml:space="preserve">Now 15:15 in both backtest and live (previously backtest held to 15:30 close, live exited 15:20)</t>
  </si>
  <si>
    <t xml:space="preserve">Intraday backtests may differ slightly from earlier runs</t>
  </si>
  <si>
    <t xml:space="preserve">Signals on the candle ending at 15:15</t>
  </si>
  <si>
    <t xml:space="preserve">Not taken (would be squared off immediately)</t>
  </si>
  <si>
    <t xml:space="preserve">Backtest + live</t>
  </si>
  <si>
    <t xml:space="preserve">History setting</t>
  </si>
  <si>
    <t xml:space="preserve">Calendar days, capped per source and timeframe (see Timeframes tab)</t>
  </si>
  <si>
    <t xml:space="preserve">Backtest</t>
  </si>
  <si>
    <t xml:space="preserve">Streamlit app</t>
  </si>
  <si>
    <t xml:space="preserve">Unchanged - timeframe option is in the FastAPI app only</t>
  </si>
  <si>
    <t xml:space="preserve">Scope</t>
  </si>
  <si>
    <t xml:space="preserve">Files updated</t>
  </si>
  <si>
    <t xml:space="preserve">All under D:\PersonalProjects\quant\screener</t>
  </si>
  <si>
    <t xml:space="preserve">File</t>
  </si>
  <si>
    <t xml:space="preserve">What changed</t>
  </si>
  <si>
    <t xml:space="preserve">streamlit_scanner\data_providers.py</t>
  </si>
  <si>
    <t xml:space="preserve">Timeframes, history limits, weekly/monthly resampling, completed-bar filter</t>
  </si>
  <si>
    <t xml:space="preserve">app1\backtest_engine.py</t>
  </si>
  <si>
    <t xml:space="preserve">Timeframe setting, generic candle fetch, intraday-only rules conditional</t>
  </si>
  <si>
    <t xml:space="preserve">app1\trading_engine.py</t>
  </si>
  <si>
    <t xml:space="preserve">Per-session timeframe, morning run for daily+, CNC orders, bar cooldowns, stale-signal rule</t>
  </si>
  <si>
    <t xml:space="preserve">app1\server.py</t>
  </si>
  <si>
    <t xml:space="preserve">Choice-type settings, timeframe in candle requests</t>
  </si>
  <si>
    <t xml:space="preserve">app1\static\backtest.js</t>
  </si>
  <si>
    <t xml:space="preserve">Timeframe dropdown, history hints, adaptive chart</t>
  </si>
  <si>
    <t xml:space="preserve">app1\static\backtest.html</t>
  </si>
  <si>
    <t xml:space="preserve">Chart caption</t>
  </si>
  <si>
    <t xml:space="preserve">app1\static\trade.js</t>
  </si>
  <si>
    <t xml:space="preserve">Timeframe dropdown, daily+ note, session details</t>
  </si>
  <si>
    <t xml:space="preserve">app1\static\trade.html</t>
  </si>
  <si>
    <t xml:space="preserve">Cache version bump</t>
  </si>
  <si>
    <t xml:space="preserve">app1\static\index.html</t>
  </si>
  <si>
    <t xml:space="preserve">app1\static\screener.html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</si>
</sst>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General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DE2E1"/>
        <bgColor rgb="FFFFF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F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4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s">
        <v>6</v>
      </c>
      <c r="C5" s="4" t="s">
        <v>7</v>
      </c>
    </row>
    <row r="6" customFormat="false" ht="15" hidden="false" customHeight="false" outlineLevel="0" collapsed="false">
      <c r="A6" s="4" t="s">
        <v>8</v>
      </c>
      <c r="B6" s="4" t="s">
        <v>9</v>
      </c>
      <c r="C6" s="4" t="s">
        <v>10</v>
      </c>
    </row>
    <row r="7" customFormat="false" ht="15" hidden="false" customHeight="false" outlineLevel="0" collapsed="false">
      <c r="A7" s="4" t="s">
        <v>11</v>
      </c>
      <c r="B7" s="4" t="s">
        <v>12</v>
      </c>
      <c r="C7" s="4" t="s">
        <v>13</v>
      </c>
    </row>
    <row r="8" customFormat="false" ht="15" hidden="false" customHeight="false" outlineLevel="0" collapsed="false">
      <c r="A8" s="4" t="s">
        <v>14</v>
      </c>
      <c r="B8" s="4" t="s">
        <v>15</v>
      </c>
      <c r="C8" s="4" t="s">
        <v>16</v>
      </c>
    </row>
    <row r="9" customFormat="false" ht="23.85" hidden="false" customHeight="false" outlineLevel="0" collapsed="false">
      <c r="A9" s="4" t="s">
        <v>17</v>
      </c>
      <c r="B9" s="4" t="s">
        <v>15</v>
      </c>
      <c r="C9" s="4" t="s">
        <v>16</v>
      </c>
    </row>
    <row r="10" customFormat="false" ht="15" hidden="false" customHeight="false" outlineLevel="0" collapsed="false">
      <c r="A10" s="4" t="s">
        <v>18</v>
      </c>
      <c r="B10" s="4" t="s">
        <v>19</v>
      </c>
      <c r="C10" s="4" t="s">
        <v>20</v>
      </c>
    </row>
    <row r="11" customFormat="false" ht="23.85" hidden="false" customHeight="false" outlineLevel="0" collapsed="false">
      <c r="A11" s="4" t="s">
        <v>21</v>
      </c>
      <c r="B11" s="4" t="s">
        <v>22</v>
      </c>
      <c r="C11" s="4" t="s">
        <v>23</v>
      </c>
    </row>
    <row r="12" customFormat="false" ht="23.85" hidden="false" customHeight="false" outlineLevel="0" collapsed="false">
      <c r="A12" s="4" t="s">
        <v>24</v>
      </c>
      <c r="B12" s="4" t="s">
        <v>25</v>
      </c>
      <c r="C12" s="4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26"/>
    <col collapsed="false" customWidth="true" hidden="false" outlineLevel="0" max="8" min="8" style="0" width="16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4" customFormat="false" ht="23.85" hidden="false" customHeight="false" outlineLevel="0" collapsed="false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</row>
    <row r="5" customFormat="false" ht="15" hidden="false" customHeight="false" outlineLevel="0" collapsed="false">
      <c r="A5" s="5" t="s">
        <v>38</v>
      </c>
      <c r="B5" s="4" t="s">
        <v>39</v>
      </c>
      <c r="C5" s="5" t="s">
        <v>40</v>
      </c>
      <c r="D5" s="5" t="s">
        <v>41</v>
      </c>
      <c r="E5" s="5" t="s">
        <v>42</v>
      </c>
      <c r="F5" s="5" t="s">
        <v>43</v>
      </c>
      <c r="G5" s="4" t="s">
        <v>22</v>
      </c>
      <c r="H5" s="6" t="n">
        <v>59</v>
      </c>
      <c r="I5" s="6" t="n">
        <v>66</v>
      </c>
    </row>
    <row r="6" customFormat="false" ht="15" hidden="false" customHeight="false" outlineLevel="0" collapsed="false">
      <c r="A6" s="5" t="s">
        <v>44</v>
      </c>
      <c r="B6" s="4" t="s">
        <v>45</v>
      </c>
      <c r="C6" s="5" t="s">
        <v>40</v>
      </c>
      <c r="D6" s="5" t="s">
        <v>41</v>
      </c>
      <c r="E6" s="5" t="s">
        <v>42</v>
      </c>
      <c r="F6" s="5" t="s">
        <v>43</v>
      </c>
      <c r="G6" s="4" t="s">
        <v>22</v>
      </c>
      <c r="H6" s="6" t="n">
        <v>59</v>
      </c>
      <c r="I6" s="6" t="n">
        <v>200</v>
      </c>
    </row>
    <row r="7" customFormat="false" ht="15" hidden="false" customHeight="false" outlineLevel="0" collapsed="false">
      <c r="A7" s="5" t="s">
        <v>46</v>
      </c>
      <c r="B7" s="4" t="s">
        <v>47</v>
      </c>
      <c r="C7" s="5" t="s">
        <v>40</v>
      </c>
      <c r="D7" s="5" t="s">
        <v>41</v>
      </c>
      <c r="E7" s="5" t="s">
        <v>42</v>
      </c>
      <c r="F7" s="5" t="s">
        <v>43</v>
      </c>
      <c r="G7" s="4" t="s">
        <v>22</v>
      </c>
      <c r="H7" s="6" t="n">
        <v>59</v>
      </c>
      <c r="I7" s="6" t="n">
        <v>384</v>
      </c>
    </row>
    <row r="8" customFormat="false" ht="15" hidden="false" customHeight="false" outlineLevel="0" collapsed="false">
      <c r="A8" s="5" t="s">
        <v>48</v>
      </c>
      <c r="B8" s="4" t="s">
        <v>49</v>
      </c>
      <c r="C8" s="5" t="s">
        <v>40</v>
      </c>
      <c r="D8" s="5" t="s">
        <v>41</v>
      </c>
      <c r="E8" s="5" t="s">
        <v>42</v>
      </c>
      <c r="F8" s="5" t="s">
        <v>43</v>
      </c>
      <c r="G8" s="4" t="s">
        <v>22</v>
      </c>
      <c r="H8" s="6" t="n">
        <v>729</v>
      </c>
      <c r="I8" s="6" t="n">
        <v>714</v>
      </c>
    </row>
    <row r="9" customFormat="false" ht="15" hidden="false" customHeight="false" outlineLevel="0" collapsed="false">
      <c r="A9" s="5" t="s">
        <v>50</v>
      </c>
      <c r="B9" s="4" t="s">
        <v>51</v>
      </c>
      <c r="C9" s="5" t="s">
        <v>52</v>
      </c>
      <c r="D9" s="5" t="s">
        <v>53</v>
      </c>
      <c r="E9" s="5" t="s">
        <v>54</v>
      </c>
      <c r="F9" s="5" t="s">
        <v>55</v>
      </c>
      <c r="G9" s="4" t="s">
        <v>56</v>
      </c>
      <c r="H9" s="6" t="n">
        <v>7300</v>
      </c>
      <c r="I9" s="6" t="n">
        <v>7242</v>
      </c>
    </row>
    <row r="10" customFormat="false" ht="15" hidden="false" customHeight="false" outlineLevel="0" collapsed="false">
      <c r="A10" s="5" t="s">
        <v>57</v>
      </c>
      <c r="B10" s="4" t="s">
        <v>58</v>
      </c>
      <c r="C10" s="5" t="s">
        <v>52</v>
      </c>
      <c r="D10" s="5" t="s">
        <v>53</v>
      </c>
      <c r="E10" s="5" t="s">
        <v>54</v>
      </c>
      <c r="F10" s="5" t="s">
        <v>55</v>
      </c>
      <c r="G10" s="4" t="s">
        <v>56</v>
      </c>
      <c r="H10" s="6" t="n">
        <v>7300</v>
      </c>
      <c r="I10" s="6" t="n">
        <v>7242</v>
      </c>
    </row>
    <row r="11" customFormat="false" ht="15" hidden="false" customHeight="false" outlineLevel="0" collapsed="false">
      <c r="A11" s="5" t="s">
        <v>59</v>
      </c>
      <c r="B11" s="4" t="s">
        <v>60</v>
      </c>
      <c r="C11" s="5" t="s">
        <v>52</v>
      </c>
      <c r="D11" s="5" t="s">
        <v>53</v>
      </c>
      <c r="E11" s="5" t="s">
        <v>54</v>
      </c>
      <c r="F11" s="5" t="s">
        <v>55</v>
      </c>
      <c r="G11" s="4" t="s">
        <v>56</v>
      </c>
      <c r="H11" s="6" t="n">
        <v>7300</v>
      </c>
      <c r="I11" s="6" t="n">
        <v>7242</v>
      </c>
    </row>
    <row r="13" customFormat="false" ht="15" hidden="false" customHeight="false" outlineLevel="0" collapsed="false">
      <c r="A13" s="2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7" min="7" style="0" width="62"/>
  </cols>
  <sheetData>
    <row r="1" customFormat="false" ht="17.3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4" customFormat="false" ht="23.85" hidden="false" customHeight="false" outlineLevel="0" collapsed="false">
      <c r="A4" s="3" t="s">
        <v>64</v>
      </c>
      <c r="B4" s="3" t="s">
        <v>30</v>
      </c>
      <c r="C4" s="3" t="s">
        <v>65</v>
      </c>
      <c r="D4" s="3" t="s">
        <v>66</v>
      </c>
      <c r="E4" s="3" t="s">
        <v>67</v>
      </c>
      <c r="F4" s="3" t="s">
        <v>68</v>
      </c>
      <c r="G4" s="3" t="s">
        <v>69</v>
      </c>
    </row>
    <row r="5" customFormat="false" ht="15" hidden="false" customHeight="false" outlineLevel="0" collapsed="false">
      <c r="A5" s="4" t="s">
        <v>70</v>
      </c>
      <c r="B5" s="5" t="s">
        <v>38</v>
      </c>
      <c r="C5" s="7" t="n">
        <v>327</v>
      </c>
      <c r="D5" s="7" t="n">
        <v>327</v>
      </c>
      <c r="E5" s="8" t="n">
        <f aca="false">C5-D5</f>
        <v>0</v>
      </c>
      <c r="F5" s="9" t="n">
        <f aca="false">IF(C5=0,0,D5/C5)</f>
        <v>1</v>
      </c>
      <c r="G5" s="4" t="s">
        <v>71</v>
      </c>
    </row>
    <row r="6" customFormat="false" ht="15" hidden="false" customHeight="false" outlineLevel="0" collapsed="false">
      <c r="A6" s="4" t="s">
        <v>70</v>
      </c>
      <c r="B6" s="5" t="s">
        <v>44</v>
      </c>
      <c r="C6" s="7" t="n">
        <v>138</v>
      </c>
      <c r="D6" s="7" t="n">
        <v>138</v>
      </c>
      <c r="E6" s="8" t="n">
        <f aca="false">C6-D6</f>
        <v>0</v>
      </c>
      <c r="F6" s="9" t="n">
        <f aca="false">IF(C6=0,0,D6/C6)</f>
        <v>1</v>
      </c>
      <c r="G6" s="4" t="s">
        <v>71</v>
      </c>
    </row>
    <row r="7" customFormat="false" ht="15" hidden="false" customHeight="false" outlineLevel="0" collapsed="false">
      <c r="A7" s="10" t="s">
        <v>70</v>
      </c>
      <c r="B7" s="11" t="s">
        <v>46</v>
      </c>
      <c r="C7" s="12" t="n">
        <v>71</v>
      </c>
      <c r="D7" s="12" t="n">
        <v>65</v>
      </c>
      <c r="E7" s="13" t="n">
        <f aca="false">C7-D7</f>
        <v>6</v>
      </c>
      <c r="F7" s="14" t="n">
        <f aca="false">IF(C7=0,0,D7/C7)</f>
        <v>0.915492957746479</v>
      </c>
      <c r="G7" s="10" t="s">
        <v>72</v>
      </c>
    </row>
    <row r="8" customFormat="false" ht="15" hidden="false" customHeight="false" outlineLevel="0" collapsed="false">
      <c r="A8" s="4" t="s">
        <v>70</v>
      </c>
      <c r="B8" s="5" t="s">
        <v>48</v>
      </c>
      <c r="C8" s="7" t="n">
        <v>29</v>
      </c>
      <c r="D8" s="7" t="n">
        <v>29</v>
      </c>
      <c r="E8" s="8" t="n">
        <f aca="false">C8-D8</f>
        <v>0</v>
      </c>
      <c r="F8" s="9" t="n">
        <f aca="false">IF(C8=0,0,D8/C8)</f>
        <v>1</v>
      </c>
      <c r="G8" s="4" t="s">
        <v>71</v>
      </c>
    </row>
    <row r="9" customFormat="false" ht="15" hidden="false" customHeight="false" outlineLevel="0" collapsed="false">
      <c r="A9" s="4" t="s">
        <v>70</v>
      </c>
      <c r="B9" s="5" t="s">
        <v>50</v>
      </c>
      <c r="C9" s="7" t="n">
        <v>165</v>
      </c>
      <c r="D9" s="7" t="n">
        <v>165</v>
      </c>
      <c r="E9" s="8" t="n">
        <f aca="false">C9-D9</f>
        <v>0</v>
      </c>
      <c r="F9" s="9" t="n">
        <f aca="false">IF(C9=0,0,D9/C9)</f>
        <v>1</v>
      </c>
      <c r="G9" s="4" t="s">
        <v>71</v>
      </c>
    </row>
    <row r="10" customFormat="false" ht="15" hidden="false" customHeight="false" outlineLevel="0" collapsed="false">
      <c r="A10" s="4" t="s">
        <v>70</v>
      </c>
      <c r="B10" s="5" t="s">
        <v>57</v>
      </c>
      <c r="C10" s="7" t="n">
        <v>19</v>
      </c>
      <c r="D10" s="7" t="n">
        <v>19</v>
      </c>
      <c r="E10" s="8" t="n">
        <f aca="false">C10-D10</f>
        <v>0</v>
      </c>
      <c r="F10" s="9" t="n">
        <f aca="false">IF(C10=0,0,D10/C10)</f>
        <v>1</v>
      </c>
      <c r="G10" s="4" t="s">
        <v>71</v>
      </c>
    </row>
    <row r="11" customFormat="false" ht="23.85" hidden="false" customHeight="false" outlineLevel="0" collapsed="false">
      <c r="A11" s="4" t="s">
        <v>70</v>
      </c>
      <c r="B11" s="5" t="s">
        <v>59</v>
      </c>
      <c r="C11" s="7" t="n">
        <v>4</v>
      </c>
      <c r="D11" s="7" t="n">
        <v>3</v>
      </c>
      <c r="E11" s="8" t="n">
        <f aca="false">C11-D11</f>
        <v>1</v>
      </c>
      <c r="F11" s="9" t="n">
        <f aca="false">IF(C11=0,0,D11/C11)</f>
        <v>0.75</v>
      </c>
      <c r="G11" s="4" t="s">
        <v>73</v>
      </c>
    </row>
    <row r="12" customFormat="false" ht="15" hidden="false" customHeight="false" outlineLevel="0" collapsed="false">
      <c r="A12" s="4" t="s">
        <v>74</v>
      </c>
      <c r="B12" s="5" t="s">
        <v>38</v>
      </c>
      <c r="C12" s="7" t="n">
        <v>82</v>
      </c>
      <c r="D12" s="7" t="n">
        <v>82</v>
      </c>
      <c r="E12" s="8" t="n">
        <f aca="false">C12-D12</f>
        <v>0</v>
      </c>
      <c r="F12" s="9" t="n">
        <f aca="false">IF(C12=0,0,D12/C12)</f>
        <v>1</v>
      </c>
      <c r="G12" s="4" t="s">
        <v>71</v>
      </c>
    </row>
    <row r="13" customFormat="false" ht="15" hidden="false" customHeight="false" outlineLevel="0" collapsed="false">
      <c r="A13" s="4" t="s">
        <v>74</v>
      </c>
      <c r="B13" s="5" t="s">
        <v>44</v>
      </c>
      <c r="C13" s="7" t="n">
        <v>62</v>
      </c>
      <c r="D13" s="7" t="n">
        <v>62</v>
      </c>
      <c r="E13" s="8" t="n">
        <f aca="false">C13-D13</f>
        <v>0</v>
      </c>
      <c r="F13" s="9" t="n">
        <f aca="false">IF(C13=0,0,D13/C13)</f>
        <v>1</v>
      </c>
      <c r="G13" s="4" t="s">
        <v>71</v>
      </c>
    </row>
    <row r="14" customFormat="false" ht="15" hidden="false" customHeight="false" outlineLevel="0" collapsed="false">
      <c r="A14" s="4" t="s">
        <v>74</v>
      </c>
      <c r="B14" s="5" t="s">
        <v>46</v>
      </c>
      <c r="C14" s="7" t="n">
        <v>45</v>
      </c>
      <c r="D14" s="7" t="n">
        <v>45</v>
      </c>
      <c r="E14" s="8" t="n">
        <f aca="false">C14-D14</f>
        <v>0</v>
      </c>
      <c r="F14" s="9" t="n">
        <f aca="false">IF(C14=0,0,D14/C14)</f>
        <v>1</v>
      </c>
      <c r="G14" s="4" t="s">
        <v>71</v>
      </c>
    </row>
    <row r="15" customFormat="false" ht="15" hidden="false" customHeight="false" outlineLevel="0" collapsed="false">
      <c r="A15" s="4" t="s">
        <v>74</v>
      </c>
      <c r="B15" s="5" t="s">
        <v>48</v>
      </c>
      <c r="C15" s="7" t="n">
        <v>20</v>
      </c>
      <c r="D15" s="7" t="n">
        <v>20</v>
      </c>
      <c r="E15" s="8" t="n">
        <f aca="false">C15-D15</f>
        <v>0</v>
      </c>
      <c r="F15" s="9" t="n">
        <f aca="false">IF(C15=0,0,D15/C15)</f>
        <v>1</v>
      </c>
      <c r="G15" s="4" t="s">
        <v>71</v>
      </c>
    </row>
    <row r="16" customFormat="false" ht="15" hidden="false" customHeight="false" outlineLevel="0" collapsed="false">
      <c r="A16" s="4" t="s">
        <v>74</v>
      </c>
      <c r="B16" s="5" t="s">
        <v>50</v>
      </c>
      <c r="C16" s="7" t="n">
        <v>60</v>
      </c>
      <c r="D16" s="7" t="n">
        <v>60</v>
      </c>
      <c r="E16" s="8" t="n">
        <f aca="false">C16-D16</f>
        <v>0</v>
      </c>
      <c r="F16" s="9" t="n">
        <f aca="false">IF(C16=0,0,D16/C16)</f>
        <v>1</v>
      </c>
      <c r="G16" s="4" t="s">
        <v>71</v>
      </c>
    </row>
    <row r="17" customFormat="false" ht="15" hidden="false" customHeight="false" outlineLevel="0" collapsed="false">
      <c r="A17" s="4" t="s">
        <v>74</v>
      </c>
      <c r="B17" s="5" t="s">
        <v>57</v>
      </c>
      <c r="C17" s="7" t="n">
        <v>7</v>
      </c>
      <c r="D17" s="7" t="n">
        <v>6</v>
      </c>
      <c r="E17" s="8" t="n">
        <f aca="false">C17-D17</f>
        <v>1</v>
      </c>
      <c r="F17" s="9" t="n">
        <f aca="false">IF(C17=0,0,D17/C17)</f>
        <v>0.857142857142857</v>
      </c>
      <c r="G17" s="4" t="s">
        <v>75</v>
      </c>
    </row>
    <row r="18" customFormat="false" ht="15" hidden="false" customHeight="false" outlineLevel="0" collapsed="false">
      <c r="A18" s="4" t="s">
        <v>74</v>
      </c>
      <c r="B18" s="5" t="s">
        <v>59</v>
      </c>
      <c r="C18" s="7" t="n">
        <v>2</v>
      </c>
      <c r="D18" s="7" t="n">
        <v>2</v>
      </c>
      <c r="E18" s="8" t="n">
        <f aca="false">C18-D18</f>
        <v>0</v>
      </c>
      <c r="F18" s="9" t="n">
        <f aca="false">IF(C18=0,0,D18/C18)</f>
        <v>1</v>
      </c>
      <c r="G18" s="4" t="s">
        <v>71</v>
      </c>
    </row>
    <row r="19" customFormat="false" ht="15" hidden="false" customHeight="false" outlineLevel="0" collapsed="false">
      <c r="A19" s="15" t="s">
        <v>76</v>
      </c>
      <c r="C19" s="16" t="n">
        <f aca="false">SUM(C5:C18)</f>
        <v>1031</v>
      </c>
      <c r="D19" s="16" t="n">
        <f aca="false">SUM(D5:D18)</f>
        <v>1023</v>
      </c>
      <c r="E19" s="16" t="n">
        <f aca="false">SUM(E5:E18)</f>
        <v>8</v>
      </c>
      <c r="F19" s="17" t="n">
        <f aca="false">IF(C19=0,0,D19/C19)</f>
        <v>0.992240543161979</v>
      </c>
    </row>
    <row r="21" customFormat="false" ht="15" hidden="false" customHeight="false" outlineLevel="0" collapsed="false">
      <c r="A21" s="2" t="s">
        <v>77</v>
      </c>
    </row>
  </sheetData>
  <conditionalFormatting sqref="E5:E18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0"/>
    <col collapsed="false" customWidth="true" hidden="false" outlineLevel="0" max="3" min="3" style="0" width="28"/>
  </cols>
  <sheetData>
    <row r="1" customFormat="false" ht="17.35" hidden="false" customHeight="false" outlineLevel="0" collapsed="false">
      <c r="A1" s="1" t="s">
        <v>78</v>
      </c>
    </row>
    <row r="2" customFormat="false" ht="15" hidden="false" customHeight="false" outlineLevel="0" collapsed="false">
      <c r="A2" s="2" t="s">
        <v>79</v>
      </c>
    </row>
    <row r="4" customFormat="false" ht="15" hidden="false" customHeight="false" outlineLevel="0" collapsed="false">
      <c r="A4" s="3" t="s">
        <v>80</v>
      </c>
      <c r="B4" s="3" t="s">
        <v>81</v>
      </c>
      <c r="C4" s="3" t="s">
        <v>82</v>
      </c>
    </row>
    <row r="5" customFormat="false" ht="23.85" hidden="false" customHeight="false" outlineLevel="0" collapsed="false">
      <c r="A5" s="4" t="s">
        <v>83</v>
      </c>
      <c r="B5" s="4" t="s">
        <v>84</v>
      </c>
      <c r="C5" s="4" t="s">
        <v>85</v>
      </c>
    </row>
    <row r="6" customFormat="false" ht="23.85" hidden="false" customHeight="false" outlineLevel="0" collapsed="false">
      <c r="A6" s="4" t="s">
        <v>86</v>
      </c>
      <c r="B6" s="4" t="s">
        <v>87</v>
      </c>
      <c r="C6" s="4" t="s">
        <v>88</v>
      </c>
    </row>
    <row r="7" customFormat="false" ht="23.85" hidden="false" customHeight="false" outlineLevel="0" collapsed="false">
      <c r="A7" s="4" t="s">
        <v>89</v>
      </c>
      <c r="B7" s="4" t="s">
        <v>90</v>
      </c>
      <c r="C7" s="4" t="s">
        <v>91</v>
      </c>
    </row>
    <row r="8" customFormat="false" ht="15" hidden="false" customHeight="false" outlineLevel="0" collapsed="false">
      <c r="A8" s="4" t="s">
        <v>92</v>
      </c>
      <c r="B8" s="4" t="s">
        <v>93</v>
      </c>
      <c r="C8" s="4" t="s">
        <v>94</v>
      </c>
    </row>
    <row r="9" customFormat="false" ht="15" hidden="false" customHeight="false" outlineLevel="0" collapsed="false">
      <c r="A9" s="4" t="s">
        <v>95</v>
      </c>
      <c r="B9" s="4" t="s">
        <v>96</v>
      </c>
      <c r="C9" s="4" t="s">
        <v>97</v>
      </c>
    </row>
    <row r="10" customFormat="false" ht="15" hidden="false" customHeight="false" outlineLevel="0" collapsed="false">
      <c r="A10" s="4" t="s">
        <v>98</v>
      </c>
      <c r="B10" s="4" t="s">
        <v>99</v>
      </c>
      <c r="C10" s="4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2" t="s">
        <v>102</v>
      </c>
    </row>
    <row r="4" customFormat="false" ht="15" hidden="false" customHeight="false" outlineLevel="0" collapsed="false">
      <c r="A4" s="3" t="s">
        <v>103</v>
      </c>
      <c r="B4" s="3" t="s">
        <v>104</v>
      </c>
    </row>
    <row r="5" customFormat="false" ht="15" hidden="false" customHeight="false" outlineLevel="0" collapsed="false">
      <c r="A5" s="4" t="s">
        <v>105</v>
      </c>
      <c r="B5" s="4" t="s">
        <v>106</v>
      </c>
    </row>
    <row r="6" customFormat="false" ht="15" hidden="false" customHeight="false" outlineLevel="0" collapsed="false">
      <c r="A6" s="4" t="s">
        <v>107</v>
      </c>
      <c r="B6" s="4" t="s">
        <v>108</v>
      </c>
    </row>
    <row r="7" customFormat="false" ht="15" hidden="false" customHeight="false" outlineLevel="0" collapsed="false">
      <c r="A7" s="4" t="s">
        <v>109</v>
      </c>
      <c r="B7" s="4" t="s">
        <v>110</v>
      </c>
    </row>
    <row r="8" customFormat="false" ht="15" hidden="false" customHeight="false" outlineLevel="0" collapsed="false">
      <c r="A8" s="4" t="s">
        <v>111</v>
      </c>
      <c r="B8" s="4" t="s">
        <v>112</v>
      </c>
    </row>
    <row r="9" customFormat="false" ht="15" hidden="false" customHeight="false" outlineLevel="0" collapsed="false">
      <c r="A9" s="4" t="s">
        <v>113</v>
      </c>
      <c r="B9" s="4" t="s">
        <v>114</v>
      </c>
    </row>
    <row r="10" customFormat="false" ht="15" hidden="false" customHeight="false" outlineLevel="0" collapsed="false">
      <c r="A10" s="4" t="s">
        <v>115</v>
      </c>
      <c r="B10" s="4" t="s">
        <v>116</v>
      </c>
    </row>
    <row r="11" customFormat="false" ht="15" hidden="false" customHeight="false" outlineLevel="0" collapsed="false">
      <c r="A11" s="4" t="s">
        <v>117</v>
      </c>
      <c r="B11" s="4" t="s">
        <v>118</v>
      </c>
    </row>
    <row r="12" customFormat="false" ht="15" hidden="false" customHeight="false" outlineLevel="0" collapsed="false">
      <c r="A12" s="4" t="s">
        <v>119</v>
      </c>
      <c r="B12" s="4" t="s">
        <v>120</v>
      </c>
    </row>
    <row r="13" customFormat="false" ht="15" hidden="false" customHeight="false" outlineLevel="0" collapsed="false">
      <c r="A13" s="4" t="s">
        <v>121</v>
      </c>
      <c r="B13" s="4" t="s">
        <v>120</v>
      </c>
    </row>
    <row r="14" customFormat="false" ht="15" hidden="false" customHeight="false" outlineLevel="0" collapsed="false">
      <c r="A14" s="4" t="s">
        <v>122</v>
      </c>
      <c r="B14" s="4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2026-10-07T10:42:54Z</dcterms:created>
  <dc:creator>openpyxl</dc:creator>
  <dc:description/>
  <dc:language>en-US</dc:language>
  <cp:lastModifiedBy/>
  <dcterms:modified xsi:type="dcterms:W3CDTF">2026-10-07T10:42:54Z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